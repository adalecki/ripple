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alecki\Downloads\"/>
    </mc:Choice>
  </mc:AlternateContent>
  <xr:revisionPtr revIDLastSave="0" documentId="8_{70DDFF3E-BC37-47F3-9F71-C72A36AF215A}" xr6:coauthVersionLast="47" xr6:coauthVersionMax="47" xr10:uidLastSave="{00000000-0000-0000-0000-000000000000}"/>
  <bookViews>
    <workbookView xWindow="67080" yWindow="-13365" windowWidth="38640" windowHeight="21120" xr2:uid="{78FBB280-6DFE-437C-B3D1-3C5CE54962AD}"/>
  </bookViews>
  <sheets>
    <sheet name="Patterns" sheetId="3" r:id="rId1"/>
    <sheet name="Layout" sheetId="1" r:id="rId2"/>
    <sheet name="Compounds" sheetId="2" r:id="rId3"/>
    <sheet name="Barcodes" sheetId="4" r:id="rId4"/>
    <sheet name="Assay" sheetId="5" r:id="rId5"/>
  </sheets>
  <definedNames>
    <definedName name="_xlnm._FilterDatabase" localSheetId="2" hidden="1">Compounds!$A$2:$A$9</definedName>
    <definedName name="_xlnm.Extract" localSheetId="2">Compounds!$L$2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3" l="1"/>
  <c r="G9" i="3" s="1"/>
  <c r="H9" i="3" s="1"/>
  <c r="I9" i="3" s="1"/>
  <c r="J9" i="3" s="1"/>
  <c r="K9" i="3" s="1"/>
  <c r="L9" i="3" s="1"/>
  <c r="M9" i="3" s="1"/>
  <c r="N9" i="3" s="1"/>
  <c r="F8" i="3"/>
  <c r="G8" i="3" s="1"/>
  <c r="H8" i="3" s="1"/>
  <c r="I8" i="3" s="1"/>
  <c r="J8" i="3" s="1"/>
  <c r="K8" i="3" s="1"/>
  <c r="L8" i="3" s="1"/>
  <c r="M8" i="3" s="1"/>
  <c r="N8" i="3" s="1"/>
  <c r="F7" i="3"/>
  <c r="G7" i="3" s="1"/>
  <c r="H7" i="3" s="1"/>
  <c r="I7" i="3" s="1"/>
  <c r="J7" i="3" s="1"/>
  <c r="K7" i="3" s="1"/>
  <c r="L7" i="3" s="1"/>
  <c r="M7" i="3" s="1"/>
  <c r="N7" i="3" s="1"/>
  <c r="F6" i="3"/>
  <c r="G6" i="3" s="1"/>
  <c r="H6" i="3" s="1"/>
  <c r="I6" i="3" s="1"/>
  <c r="J6" i="3" s="1"/>
  <c r="K6" i="3" s="1"/>
  <c r="L6" i="3" s="1"/>
  <c r="M6" i="3" s="1"/>
  <c r="N6" i="3" s="1"/>
  <c r="F5" i="3"/>
  <c r="G5" i="3" s="1"/>
  <c r="H5" i="3" s="1"/>
  <c r="I5" i="3" s="1"/>
  <c r="J5" i="3" s="1"/>
  <c r="K5" i="3" s="1"/>
  <c r="L5" i="3" s="1"/>
  <c r="M5" i="3" s="1"/>
  <c r="N5" i="3" s="1"/>
  <c r="F4" i="3"/>
  <c r="G4" i="3" s="1"/>
  <c r="H4" i="3" s="1"/>
  <c r="I4" i="3" s="1"/>
  <c r="J4" i="3" s="1"/>
  <c r="K4" i="3" s="1"/>
  <c r="L4" i="3" s="1"/>
  <c r="M4" i="3" s="1"/>
  <c r="N4" i="3" s="1"/>
  <c r="F3" i="3"/>
  <c r="G3" i="3" s="1"/>
  <c r="H3" i="3" s="1"/>
  <c r="I3" i="3" s="1"/>
  <c r="J3" i="3" s="1"/>
  <c r="K3" i="3" s="1"/>
  <c r="L3" i="3" s="1"/>
  <c r="M3" i="3" s="1"/>
  <c r="N3" i="3" s="1"/>
  <c r="F2" i="3"/>
  <c r="G2" i="3" s="1"/>
  <c r="H2" i="3" s="1"/>
  <c r="I2" i="3" s="1"/>
  <c r="J2" i="3" s="1"/>
  <c r="K2" i="3" s="1"/>
  <c r="L2" i="3" s="1"/>
  <c r="M2" i="3" s="1"/>
  <c r="N2" i="3" s="1"/>
</calcChain>
</file>

<file path=xl/sharedStrings.xml><?xml version="1.0" encoding="utf-8"?>
<sst xmlns="http://schemas.openxmlformats.org/spreadsheetml/2006/main" count="125" uniqueCount="91">
  <si>
    <t>Pattern</t>
  </si>
  <si>
    <t>Type</t>
  </si>
  <si>
    <t>Direction</t>
  </si>
  <si>
    <t>Replicates</t>
  </si>
  <si>
    <t>Conc1</t>
  </si>
  <si>
    <t>Conc2</t>
  </si>
  <si>
    <t>Conc3</t>
  </si>
  <si>
    <t>Conc4</t>
  </si>
  <si>
    <t>Conc5</t>
  </si>
  <si>
    <t>Conc6</t>
  </si>
  <si>
    <t>Conc7</t>
  </si>
  <si>
    <t>Conc8</t>
  </si>
  <si>
    <t>Conc9</t>
  </si>
  <si>
    <t>Conc10</t>
  </si>
  <si>
    <t>Conc11</t>
  </si>
  <si>
    <t>Conc12</t>
  </si>
  <si>
    <t>Conc13</t>
  </si>
  <si>
    <t>Conc14</t>
  </si>
  <si>
    <t>Conc15</t>
  </si>
  <si>
    <t>Conc16</t>
  </si>
  <si>
    <t>Conc17</t>
  </si>
  <si>
    <t>Conc18</t>
  </si>
  <si>
    <t>Conc19</t>
  </si>
  <si>
    <t>Conc20</t>
  </si>
  <si>
    <t>LR</t>
  </si>
  <si>
    <t>Treatment 1</t>
  </si>
  <si>
    <t>Treatment</t>
  </si>
  <si>
    <t>Well Block</t>
  </si>
  <si>
    <t>Source Barcode</t>
  </si>
  <si>
    <t>Well ID</t>
  </si>
  <si>
    <t>Concentration (µM)</t>
  </si>
  <si>
    <t>Compound ID</t>
  </si>
  <si>
    <t>Volume (µL)</t>
  </si>
  <si>
    <t>Intermediate Plate Barcodes</t>
  </si>
  <si>
    <t>Destination Plate Barcodes</t>
  </si>
  <si>
    <t>Setting</t>
  </si>
  <si>
    <t>Value</t>
  </si>
  <si>
    <t>DMSO Tolerance</t>
  </si>
  <si>
    <t>Well Volume (µL)</t>
  </si>
  <si>
    <t>Backfill (µL)</t>
  </si>
  <si>
    <t>Allowed Error</t>
  </si>
  <si>
    <t>Destination Replicates</t>
  </si>
  <si>
    <t>Use Intermediate Plates</t>
  </si>
  <si>
    <t>DMSO Normalization</t>
  </si>
  <si>
    <t>CPD001</t>
  </si>
  <si>
    <t>CPD002</t>
  </si>
  <si>
    <t>CPD003</t>
  </si>
  <si>
    <t>CPD004</t>
  </si>
  <si>
    <t>CPD005</t>
  </si>
  <si>
    <t>CPD006</t>
  </si>
  <si>
    <t>CPD007</t>
  </si>
  <si>
    <t>CPD008</t>
  </si>
  <si>
    <t>Empty Wells</t>
  </si>
  <si>
    <t>Unused</t>
  </si>
  <si>
    <t>Treatment 2</t>
  </si>
  <si>
    <t>Treatment 3</t>
  </si>
  <si>
    <t>Treatment 4</t>
  </si>
  <si>
    <t>Treatment 5</t>
  </si>
  <si>
    <t>Treatment 6</t>
  </si>
  <si>
    <t>Treatment 7</t>
  </si>
  <si>
    <t>Treatment 8</t>
  </si>
  <si>
    <t>A01;A03;A05;A07;A09;A11;A13;A15;A17;A19;B01;B03;B05;B07;B09;B11;B13;B15;B17;B19;C01;C03;C05;C07;C09;C11;C13;C15;C17;C19</t>
  </si>
  <si>
    <t>D01;D03;D05;D07;D09;D11;D13;D15;D17;D19;E01;E03;E05;E07;E09;E11;E13;E15;E17;E19;F01;F03;F05;F07;F09;F11;F13;F15;F17;F19</t>
  </si>
  <si>
    <t>G01;G03;G05;G07;G09;G11;G13;G15;G17;G19;H01;H03;H05;H07;H09;H11;H13;H15;H17;H19;I01;I03;I05;I07;I09;I11;I13;I15;I17;I19</t>
  </si>
  <si>
    <t>J01;J03;J05;J07;J09;J11;J13;J15;J17;J19;K01;K03;K05;K07;K09;K11;K13;K15;K17;K19;L01;L03;L05;L07;L09;L11;L13;L15;L17;L19</t>
  </si>
  <si>
    <t>M01;M03;M05;M07;M09;M11;M13;M15;M17;M19;N01;N03;N05;N07;N09;N11;N13;N15;N17;N19;O01;O03;O05;O07;O09;O11;O13;O15;O17;O19</t>
  </si>
  <si>
    <t>A02;A04;A06;A08;A10;A12;A14;A16;A18;A20;B02;B04;B06;B08;B10;B12;B14;B16;B18;B20;C02;C04;C06;C08;C10;C12;C14;C16;C18;C20</t>
  </si>
  <si>
    <t>D02;D04;D06;D08;D10;D12;D14;D16;D18;D20;E02;E04;E06;E08;E10;E12;E14;E16;E18;E20;F02;F04;F06;F08;F10;F12;F14;F16;F18;F20</t>
  </si>
  <si>
    <t>G02;G04;G06;G08;G10;G12;G14;G16;G18;G20;H02;H04;H06;H08;H10;H12;H14;H16;H18;H20;I02;I04;I06;I08;I10;I12;I14;I16;I18;I20</t>
  </si>
  <si>
    <t>P01:P20;J02;J04;J06;J08;J10;J12;J14;J16;J18;J20;K02;K04;K06;K08;K10;K12;K14;K16;K18;K20;L02;L04;L06;L08;L10;L12;L14;L16;L18;L20;M02;M04;M06;M08;M10;M12;M14;M16;M18;M20;N02;N04;N06;N08;N10;N12;N14;N16;N18;N20;O02;O04;O06;O08;O10;O12;O14;O16;O18;O20</t>
  </si>
  <si>
    <t>L18</t>
  </si>
  <si>
    <t>G11</t>
  </si>
  <si>
    <t>L04</t>
  </si>
  <si>
    <t>N03</t>
  </si>
  <si>
    <t>E11</t>
  </si>
  <si>
    <t>G20</t>
  </si>
  <si>
    <t>O08</t>
  </si>
  <si>
    <t>M05</t>
  </si>
  <si>
    <t>SRC0001</t>
  </si>
  <si>
    <t>SRC0002</t>
  </si>
  <si>
    <t>SRC0003</t>
  </si>
  <si>
    <t>SRC0004</t>
  </si>
  <si>
    <t>SRC0005</t>
  </si>
  <si>
    <t>SRC0006</t>
  </si>
  <si>
    <t>SRC0007</t>
  </si>
  <si>
    <t>SRC0008</t>
  </si>
  <si>
    <t>INT0001</t>
  </si>
  <si>
    <t>DST0001</t>
  </si>
  <si>
    <t>DST0002</t>
  </si>
  <si>
    <t>DST0003</t>
  </si>
  <si>
    <t>DST0004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</si>
</sst>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2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6D202-3BB2-4BA6-9B23-2EE178024CFD}">
  <dimension ref="A1:AH24"/>
  <sheetViews>
    <sheetView tabSelected="1" workbookViewId="0">
      <selection activeCell="G29" sqref="G29"/>
    </sheetView>
  </sheetViews>
  <sheetFormatPr defaultRowHeight="15" x14ac:dyDescent="0.25"/>
  <cols>
    <col min="1" max="1" width="12.7109375" bestFit="1" customWidth="1"/>
    <col min="2" max="2" width="10.28515625" bestFit="1" customWidth="1"/>
    <col min="4" max="4" width="10.140625" bestFit="1" customWidth="1"/>
    <col min="5" max="5" width="6.28515625" bestFit="1" customWidth="1"/>
    <col min="6" max="11" width="12" bestFit="1" customWidth="1"/>
    <col min="12" max="12" width="11" bestFit="1" customWidth="1"/>
    <col min="13" max="14" width="12" bestFit="1" customWidth="1"/>
    <col min="15" max="24" width="7.2851562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25</v>
      </c>
      <c r="B2" t="s">
        <v>26</v>
      </c>
      <c r="C2" t="s">
        <v>24</v>
      </c>
      <c r="D2">
        <v>3</v>
      </c>
      <c r="E2">
        <v>40</v>
      </c>
      <c r="F2">
        <f t="shared" ref="F2:F9" si="0">E2/3</f>
        <v>13.333333333333334</v>
      </c>
      <c r="G2">
        <f t="shared" ref="G2:N2" si="1">F2/3</f>
        <v>4.4444444444444446</v>
      </c>
      <c r="H2">
        <f t="shared" si="1"/>
        <v>1.4814814814814816</v>
      </c>
      <c r="I2">
        <f t="shared" si="1"/>
        <v>0.49382716049382719</v>
      </c>
      <c r="J2">
        <f t="shared" si="1"/>
        <v>0.16460905349794239</v>
      </c>
      <c r="K2">
        <f t="shared" si="1"/>
        <v>5.4869684499314127E-2</v>
      </c>
      <c r="L2">
        <f t="shared" si="1"/>
        <v>1.8289894833104708E-2</v>
      </c>
      <c r="M2">
        <f t="shared" si="1"/>
        <v>6.0966316110349023E-3</v>
      </c>
      <c r="N2">
        <f t="shared" si="1"/>
        <v>2.032210537011634E-3</v>
      </c>
    </row>
    <row r="3" spans="1:24" x14ac:dyDescent="0.25">
      <c r="A3" t="s">
        <v>54</v>
      </c>
      <c r="B3" t="s">
        <v>26</v>
      </c>
      <c r="C3" t="s">
        <v>24</v>
      </c>
      <c r="D3">
        <v>3</v>
      </c>
      <c r="E3">
        <v>40</v>
      </c>
      <c r="F3">
        <f t="shared" si="0"/>
        <v>13.333333333333334</v>
      </c>
      <c r="G3">
        <f t="shared" ref="G3:G9" si="2">F3/3</f>
        <v>4.4444444444444446</v>
      </c>
      <c r="H3">
        <f t="shared" ref="H3:H9" si="3">G3/3</f>
        <v>1.4814814814814816</v>
      </c>
      <c r="I3">
        <f t="shared" ref="I3:I9" si="4">H3/3</f>
        <v>0.49382716049382719</v>
      </c>
      <c r="J3">
        <f t="shared" ref="J3:J9" si="5">I3/3</f>
        <v>0.16460905349794239</v>
      </c>
      <c r="K3">
        <f t="shared" ref="K3:K9" si="6">J3/3</f>
        <v>5.4869684499314127E-2</v>
      </c>
      <c r="L3">
        <f t="shared" ref="L3:L9" si="7">K3/3</f>
        <v>1.8289894833104708E-2</v>
      </c>
      <c r="M3">
        <f t="shared" ref="M3:M9" si="8">L3/3</f>
        <v>6.0966316110349023E-3</v>
      </c>
      <c r="N3">
        <f t="shared" ref="N3:N9" si="9">M3/3</f>
        <v>2.032210537011634E-3</v>
      </c>
    </row>
    <row r="4" spans="1:24" x14ac:dyDescent="0.25">
      <c r="A4" t="s">
        <v>55</v>
      </c>
      <c r="B4" t="s">
        <v>26</v>
      </c>
      <c r="C4" t="s">
        <v>24</v>
      </c>
      <c r="D4">
        <v>3</v>
      </c>
      <c r="E4">
        <v>40</v>
      </c>
      <c r="F4">
        <f t="shared" si="0"/>
        <v>13.333333333333334</v>
      </c>
      <c r="G4">
        <f t="shared" si="2"/>
        <v>4.4444444444444446</v>
      </c>
      <c r="H4">
        <f t="shared" si="3"/>
        <v>1.4814814814814816</v>
      </c>
      <c r="I4">
        <f t="shared" si="4"/>
        <v>0.49382716049382719</v>
      </c>
      <c r="J4">
        <f t="shared" si="5"/>
        <v>0.16460905349794239</v>
      </c>
      <c r="K4">
        <f t="shared" si="6"/>
        <v>5.4869684499314127E-2</v>
      </c>
      <c r="L4">
        <f t="shared" si="7"/>
        <v>1.8289894833104708E-2</v>
      </c>
      <c r="M4">
        <f t="shared" si="8"/>
        <v>6.0966316110349023E-3</v>
      </c>
      <c r="N4">
        <f t="shared" si="9"/>
        <v>2.032210537011634E-3</v>
      </c>
    </row>
    <row r="5" spans="1:24" x14ac:dyDescent="0.25">
      <c r="A5" t="s">
        <v>56</v>
      </c>
      <c r="B5" t="s">
        <v>26</v>
      </c>
      <c r="C5" t="s">
        <v>24</v>
      </c>
      <c r="D5">
        <v>3</v>
      </c>
      <c r="E5">
        <v>40</v>
      </c>
      <c r="F5">
        <f t="shared" si="0"/>
        <v>13.333333333333334</v>
      </c>
      <c r="G5">
        <f t="shared" si="2"/>
        <v>4.4444444444444446</v>
      </c>
      <c r="H5">
        <f t="shared" si="3"/>
        <v>1.4814814814814816</v>
      </c>
      <c r="I5">
        <f t="shared" si="4"/>
        <v>0.49382716049382719</v>
      </c>
      <c r="J5">
        <f t="shared" si="5"/>
        <v>0.16460905349794239</v>
      </c>
      <c r="K5">
        <f t="shared" si="6"/>
        <v>5.4869684499314127E-2</v>
      </c>
      <c r="L5">
        <f t="shared" si="7"/>
        <v>1.8289894833104708E-2</v>
      </c>
      <c r="M5">
        <f t="shared" si="8"/>
        <v>6.0966316110349023E-3</v>
      </c>
      <c r="N5">
        <f t="shared" si="9"/>
        <v>2.032210537011634E-3</v>
      </c>
    </row>
    <row r="6" spans="1:24" x14ac:dyDescent="0.25">
      <c r="A6" t="s">
        <v>57</v>
      </c>
      <c r="B6" t="s">
        <v>26</v>
      </c>
      <c r="C6" t="s">
        <v>24</v>
      </c>
      <c r="D6">
        <v>3</v>
      </c>
      <c r="E6">
        <v>40</v>
      </c>
      <c r="F6">
        <f t="shared" si="0"/>
        <v>13.333333333333334</v>
      </c>
      <c r="G6">
        <f t="shared" si="2"/>
        <v>4.4444444444444446</v>
      </c>
      <c r="H6">
        <f t="shared" si="3"/>
        <v>1.4814814814814816</v>
      </c>
      <c r="I6">
        <f t="shared" si="4"/>
        <v>0.49382716049382719</v>
      </c>
      <c r="J6">
        <f t="shared" si="5"/>
        <v>0.16460905349794239</v>
      </c>
      <c r="K6">
        <f t="shared" si="6"/>
        <v>5.4869684499314127E-2</v>
      </c>
      <c r="L6">
        <f t="shared" si="7"/>
        <v>1.8289894833104708E-2</v>
      </c>
      <c r="M6">
        <f t="shared" si="8"/>
        <v>6.0966316110349023E-3</v>
      </c>
      <c r="N6">
        <f t="shared" si="9"/>
        <v>2.032210537011634E-3</v>
      </c>
    </row>
    <row r="7" spans="1:24" x14ac:dyDescent="0.25">
      <c r="A7" t="s">
        <v>58</v>
      </c>
      <c r="B7" t="s">
        <v>26</v>
      </c>
      <c r="C7" t="s">
        <v>24</v>
      </c>
      <c r="D7">
        <v>3</v>
      </c>
      <c r="E7">
        <v>40</v>
      </c>
      <c r="F7">
        <f t="shared" si="0"/>
        <v>13.333333333333334</v>
      </c>
      <c r="G7">
        <f t="shared" si="2"/>
        <v>4.4444444444444446</v>
      </c>
      <c r="H7">
        <f t="shared" si="3"/>
        <v>1.4814814814814816</v>
      </c>
      <c r="I7">
        <f t="shared" si="4"/>
        <v>0.49382716049382719</v>
      </c>
      <c r="J7">
        <f t="shared" si="5"/>
        <v>0.16460905349794239</v>
      </c>
      <c r="K7">
        <f t="shared" si="6"/>
        <v>5.4869684499314127E-2</v>
      </c>
      <c r="L7">
        <f t="shared" si="7"/>
        <v>1.8289894833104708E-2</v>
      </c>
      <c r="M7">
        <f t="shared" si="8"/>
        <v>6.0966316110349023E-3</v>
      </c>
      <c r="N7">
        <f t="shared" si="9"/>
        <v>2.032210537011634E-3</v>
      </c>
    </row>
    <row r="8" spans="1:24" x14ac:dyDescent="0.25">
      <c r="A8" t="s">
        <v>59</v>
      </c>
      <c r="B8" t="s">
        <v>26</v>
      </c>
      <c r="C8" t="s">
        <v>24</v>
      </c>
      <c r="D8">
        <v>3</v>
      </c>
      <c r="E8">
        <v>40</v>
      </c>
      <c r="F8">
        <f t="shared" si="0"/>
        <v>13.333333333333334</v>
      </c>
      <c r="G8">
        <f t="shared" si="2"/>
        <v>4.4444444444444446</v>
      </c>
      <c r="H8">
        <f t="shared" si="3"/>
        <v>1.4814814814814816</v>
      </c>
      <c r="I8">
        <f t="shared" si="4"/>
        <v>0.49382716049382719</v>
      </c>
      <c r="J8">
        <f t="shared" si="5"/>
        <v>0.16460905349794239</v>
      </c>
      <c r="K8">
        <f t="shared" si="6"/>
        <v>5.4869684499314127E-2</v>
      </c>
      <c r="L8">
        <f t="shared" si="7"/>
        <v>1.8289894833104708E-2</v>
      </c>
      <c r="M8">
        <f t="shared" si="8"/>
        <v>6.0966316110349023E-3</v>
      </c>
      <c r="N8">
        <f t="shared" si="9"/>
        <v>2.032210537011634E-3</v>
      </c>
    </row>
    <row r="9" spans="1:24" x14ac:dyDescent="0.25">
      <c r="A9" t="s">
        <v>60</v>
      </c>
      <c r="B9" t="s">
        <v>26</v>
      </c>
      <c r="C9" t="s">
        <v>24</v>
      </c>
      <c r="D9">
        <v>3</v>
      </c>
      <c r="E9">
        <v>40</v>
      </c>
      <c r="F9">
        <f t="shared" si="0"/>
        <v>13.333333333333334</v>
      </c>
      <c r="G9">
        <f t="shared" si="2"/>
        <v>4.4444444444444446</v>
      </c>
      <c r="H9">
        <f t="shared" si="3"/>
        <v>1.4814814814814816</v>
      </c>
      <c r="I9">
        <f t="shared" si="4"/>
        <v>0.49382716049382719</v>
      </c>
      <c r="J9">
        <f t="shared" si="5"/>
        <v>0.16460905349794239</v>
      </c>
      <c r="K9">
        <f t="shared" si="6"/>
        <v>5.4869684499314127E-2</v>
      </c>
      <c r="L9">
        <f t="shared" si="7"/>
        <v>1.8289894833104708E-2</v>
      </c>
      <c r="M9">
        <f t="shared" si="8"/>
        <v>6.0966316110349023E-3</v>
      </c>
      <c r="N9">
        <f t="shared" si="9"/>
        <v>2.032210537011634E-3</v>
      </c>
    </row>
    <row r="10" spans="1:24" x14ac:dyDescent="0.25">
      <c r="A10" t="s">
        <v>52</v>
      </c>
      <c r="B10" t="s">
        <v>53</v>
      </c>
      <c r="C10" t="s">
        <v>24</v>
      </c>
      <c r="D10">
        <v>80</v>
      </c>
      <c r="E10">
        <v>1</v>
      </c>
    </row>
    <row r="16" spans="1:24" x14ac:dyDescent="0.25">
      <c r="N16" s="1"/>
    </row>
    <row r="17" spans="14:34" x14ac:dyDescent="0.25">
      <c r="N17" s="1"/>
    </row>
    <row r="18" spans="14:34" x14ac:dyDescent="0.25">
      <c r="R18" s="1"/>
    </row>
    <row r="19" spans="14:34" x14ac:dyDescent="0.25">
      <c r="R19" s="1"/>
    </row>
    <row r="20" spans="14:34" x14ac:dyDescent="0.25">
      <c r="R20" s="1"/>
    </row>
    <row r="22" spans="14:34" x14ac:dyDescent="0.25">
      <c r="AH22" s="1"/>
    </row>
    <row r="23" spans="14:34" x14ac:dyDescent="0.25">
      <c r="Z23" s="1"/>
      <c r="AA23" s="1"/>
    </row>
    <row r="24" spans="14:34" x14ac:dyDescent="0.25">
      <c r="Y24" s="1"/>
    </row>
  </sheetData>
  <phoneticPr fontId="1" type="noConversion"/>
  <pageMargins left="0.7" right="0.7" top="0.75" bottom="0.75" header="0.3" footer="0.3"/>
  <headerFooter>
    <oddFooter>&amp;L_x000D_&amp;1#&amp;"Aptos"&amp;10&amp;K000000 St. Jude -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0F121-6CCD-4278-B940-2CC7991E0F5D}">
  <dimension ref="A1:B10"/>
  <sheetViews>
    <sheetView zoomScale="140" zoomScaleNormal="140" workbookViewId="0">
      <selection activeCell="B2" sqref="B2"/>
    </sheetView>
  </sheetViews>
  <sheetFormatPr defaultRowHeight="15" x14ac:dyDescent="0.25"/>
  <cols>
    <col min="1" max="1" width="12.7109375" bestFit="1" customWidth="1"/>
    <col min="2" max="2" width="135.7109375" bestFit="1" customWidth="1"/>
  </cols>
  <sheetData>
    <row r="1" spans="1:2" x14ac:dyDescent="0.25">
      <c r="A1" t="s">
        <v>0</v>
      </c>
      <c r="B1" t="s">
        <v>27</v>
      </c>
    </row>
    <row r="2" spans="1:2" x14ac:dyDescent="0.25">
      <c r="A2" t="s">
        <v>25</v>
      </c>
      <c r="B2" s="2" t="s">
        <v>61</v>
      </c>
    </row>
    <row r="3" spans="1:2" x14ac:dyDescent="0.25">
      <c r="A3" t="s">
        <v>54</v>
      </c>
      <c r="B3" s="2" t="s">
        <v>62</v>
      </c>
    </row>
    <row r="4" spans="1:2" x14ac:dyDescent="0.25">
      <c r="A4" t="s">
        <v>55</v>
      </c>
      <c r="B4" s="2" t="s">
        <v>63</v>
      </c>
    </row>
    <row r="5" spans="1:2" x14ac:dyDescent="0.25">
      <c r="A5" t="s">
        <v>56</v>
      </c>
      <c r="B5" s="2" t="s">
        <v>64</v>
      </c>
    </row>
    <row r="6" spans="1:2" x14ac:dyDescent="0.25">
      <c r="A6" t="s">
        <v>57</v>
      </c>
      <c r="B6" s="2" t="s">
        <v>65</v>
      </c>
    </row>
    <row r="7" spans="1:2" x14ac:dyDescent="0.25">
      <c r="A7" t="s">
        <v>58</v>
      </c>
      <c r="B7" t="s">
        <v>66</v>
      </c>
    </row>
    <row r="8" spans="1:2" x14ac:dyDescent="0.25">
      <c r="A8" t="s">
        <v>59</v>
      </c>
      <c r="B8" t="s">
        <v>67</v>
      </c>
    </row>
    <row r="9" spans="1:2" x14ac:dyDescent="0.25">
      <c r="A9" t="s">
        <v>60</v>
      </c>
      <c r="B9" t="s">
        <v>68</v>
      </c>
    </row>
    <row r="10" spans="1:2" x14ac:dyDescent="0.25">
      <c r="A10" t="s">
        <v>52</v>
      </c>
      <c r="B10" s="2" t="s">
        <v>69</v>
      </c>
    </row>
  </sheetData>
  <sortState xmlns:xlrd2="http://schemas.microsoft.com/office/spreadsheetml/2017/richdata2" ref="A2:B10">
    <sortCondition sortBy="cellColor" ref="B2:B10" dxfId="1"/>
  </sortState>
  <phoneticPr fontId="1" type="noConversion"/>
  <conditionalFormatting sqref="B1 B7:B9 B11:B1048576">
    <cfRule type="containsText" dxfId="0" priority="1" operator="containsText" text="01">
      <formula>NOT(ISERROR(SEARCH("01",B1)))</formula>
    </cfRule>
  </conditionalFormatting>
  <pageMargins left="0.7" right="0.7" top="0.75" bottom="0.75" header="0.3" footer="0.3"/>
  <pageSetup orientation="portrait" r:id="rId1"/>
  <headerFooter>
    <oddFooter>&amp;L_x000D_&amp;1#&amp;"Aptos"&amp;10&amp;K000000 St. Jude -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ED392-4335-4BFD-834C-C65D6D4D614B}">
  <dimension ref="A1:F9"/>
  <sheetViews>
    <sheetView zoomScale="120" zoomScaleNormal="120" workbookViewId="0">
      <selection activeCell="A10" sqref="A10"/>
    </sheetView>
  </sheetViews>
  <sheetFormatPr defaultRowHeight="15" x14ac:dyDescent="0.25"/>
  <cols>
    <col min="1" max="1" width="14.7109375" bestFit="1" customWidth="1"/>
    <col min="2" max="2" width="7.42578125" bestFit="1" customWidth="1"/>
    <col min="3" max="3" width="18.5703125" bestFit="1" customWidth="1"/>
    <col min="4" max="4" width="13.140625" bestFit="1" customWidth="1"/>
    <col min="5" max="5" width="11.85546875" bestFit="1" customWidth="1"/>
    <col min="6" max="6" width="12.85546875" bestFit="1" customWidth="1"/>
  </cols>
  <sheetData>
    <row r="1" spans="1:6" x14ac:dyDescent="0.25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0</v>
      </c>
    </row>
    <row r="2" spans="1:6" x14ac:dyDescent="0.25">
      <c r="A2" t="s">
        <v>78</v>
      </c>
      <c r="B2" t="s">
        <v>70</v>
      </c>
      <c r="C2">
        <v>10000</v>
      </c>
      <c r="D2" t="s">
        <v>44</v>
      </c>
      <c r="E2">
        <v>8</v>
      </c>
      <c r="F2" t="s">
        <v>25</v>
      </c>
    </row>
    <row r="3" spans="1:6" x14ac:dyDescent="0.25">
      <c r="A3" t="s">
        <v>79</v>
      </c>
      <c r="B3" t="s">
        <v>71</v>
      </c>
      <c r="C3">
        <v>10000</v>
      </c>
      <c r="D3" t="s">
        <v>45</v>
      </c>
      <c r="E3">
        <v>8</v>
      </c>
      <c r="F3" t="s">
        <v>54</v>
      </c>
    </row>
    <row r="4" spans="1:6" x14ac:dyDescent="0.25">
      <c r="A4" t="s">
        <v>80</v>
      </c>
      <c r="B4" t="s">
        <v>72</v>
      </c>
      <c r="C4">
        <v>10000</v>
      </c>
      <c r="D4" t="s">
        <v>46</v>
      </c>
      <c r="E4">
        <v>8</v>
      </c>
      <c r="F4" t="s">
        <v>55</v>
      </c>
    </row>
    <row r="5" spans="1:6" x14ac:dyDescent="0.25">
      <c r="A5" t="s">
        <v>81</v>
      </c>
      <c r="B5" t="s">
        <v>73</v>
      </c>
      <c r="C5">
        <v>10000</v>
      </c>
      <c r="D5" t="s">
        <v>47</v>
      </c>
      <c r="E5">
        <v>8</v>
      </c>
      <c r="F5" t="s">
        <v>56</v>
      </c>
    </row>
    <row r="6" spans="1:6" x14ac:dyDescent="0.25">
      <c r="A6" t="s">
        <v>82</v>
      </c>
      <c r="B6" t="s">
        <v>74</v>
      </c>
      <c r="C6">
        <v>10000</v>
      </c>
      <c r="D6" t="s">
        <v>48</v>
      </c>
      <c r="E6">
        <v>8</v>
      </c>
      <c r="F6" t="s">
        <v>57</v>
      </c>
    </row>
    <row r="7" spans="1:6" x14ac:dyDescent="0.25">
      <c r="A7" t="s">
        <v>83</v>
      </c>
      <c r="B7" t="s">
        <v>75</v>
      </c>
      <c r="C7">
        <v>10400</v>
      </c>
      <c r="D7" t="s">
        <v>49</v>
      </c>
      <c r="E7">
        <v>8</v>
      </c>
      <c r="F7" t="s">
        <v>58</v>
      </c>
    </row>
    <row r="8" spans="1:6" x14ac:dyDescent="0.25">
      <c r="A8" t="s">
        <v>84</v>
      </c>
      <c r="B8" t="s">
        <v>76</v>
      </c>
      <c r="C8">
        <v>18400</v>
      </c>
      <c r="D8" t="s">
        <v>50</v>
      </c>
      <c r="E8">
        <v>8</v>
      </c>
      <c r="F8" t="s">
        <v>59</v>
      </c>
    </row>
    <row r="9" spans="1:6" x14ac:dyDescent="0.25">
      <c r="A9" t="s">
        <v>85</v>
      </c>
      <c r="B9" t="s">
        <v>77</v>
      </c>
      <c r="C9">
        <v>10000</v>
      </c>
      <c r="D9" t="s">
        <v>51</v>
      </c>
      <c r="E9">
        <v>8</v>
      </c>
      <c r="F9" t="s">
        <v>60</v>
      </c>
    </row>
  </sheetData>
  <sortState xmlns:xlrd2="http://schemas.microsoft.com/office/spreadsheetml/2017/richdata2" ref="A2:F9">
    <sortCondition ref="A2:A9"/>
  </sortState>
  <phoneticPr fontId="1" type="noConversion"/>
  <pageMargins left="0.7" right="0.7" top="0.75" bottom="0.75" header="0.3" footer="0.3"/>
  <pageSetup orientation="portrait" r:id="rId1"/>
  <headerFooter>
    <oddFooter>&amp;L_x000D_&amp;1#&amp;"Aptos"&amp;10&amp;K000000 St. Jude -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DDAC6-5294-4465-A650-55696A7EFF14}">
  <dimension ref="A1:B5"/>
  <sheetViews>
    <sheetView workbookViewId="0">
      <selection activeCell="B6" sqref="B6"/>
    </sheetView>
  </sheetViews>
  <sheetFormatPr defaultRowHeight="15" x14ac:dyDescent="0.25"/>
  <cols>
    <col min="1" max="1" width="26.7109375" bestFit="1" customWidth="1"/>
    <col min="2" max="2" width="25.140625" bestFit="1" customWidth="1"/>
    <col min="3" max="5" width="12.140625" bestFit="1" customWidth="1"/>
  </cols>
  <sheetData>
    <row r="1" spans="1:2" x14ac:dyDescent="0.25">
      <c r="A1" t="s">
        <v>33</v>
      </c>
      <c r="B1" t="s">
        <v>34</v>
      </c>
    </row>
    <row r="2" spans="1:2" x14ac:dyDescent="0.25">
      <c r="A2" t="s">
        <v>86</v>
      </c>
      <c r="B2" t="s">
        <v>87</v>
      </c>
    </row>
    <row r="3" spans="1:2" x14ac:dyDescent="0.25">
      <c r="B3" t="s">
        <v>88</v>
      </c>
    </row>
    <row r="4" spans="1:2" x14ac:dyDescent="0.25">
      <c r="B4" t="s">
        <v>89</v>
      </c>
    </row>
    <row r="5" spans="1:2" x14ac:dyDescent="0.25">
      <c r="B5" t="s">
        <v>90</v>
      </c>
    </row>
  </sheetData>
  <phoneticPr fontId="1" type="noConversion"/>
  <pageMargins left="0.7" right="0.7" top="0.75" bottom="0.75" header="0.3" footer="0.3"/>
  <headerFooter>
    <oddFooter>&amp;L_x000D_&amp;1#&amp;"Aptos"&amp;10&amp;K000000 St. Jude -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B69AB-6C2B-4148-8445-C5EFD2F41D2A}">
  <dimension ref="A1:B8"/>
  <sheetViews>
    <sheetView workbookViewId="0">
      <selection sqref="A1:XFD1048576"/>
    </sheetView>
  </sheetViews>
  <sheetFormatPr defaultRowHeight="15" x14ac:dyDescent="0.25"/>
  <cols>
    <col min="1" max="1" width="22.7109375" bestFit="1" customWidth="1"/>
    <col min="2" max="2" width="6.140625" bestFit="1" customWidth="1"/>
  </cols>
  <sheetData>
    <row r="1" spans="1:2" x14ac:dyDescent="0.25">
      <c r="A1" t="s">
        <v>35</v>
      </c>
      <c r="B1" t="s">
        <v>36</v>
      </c>
    </row>
    <row r="2" spans="1:2" x14ac:dyDescent="0.25">
      <c r="A2" t="s">
        <v>37</v>
      </c>
      <c r="B2">
        <v>4.0000000000000001E-3</v>
      </c>
    </row>
    <row r="3" spans="1:2" x14ac:dyDescent="0.25">
      <c r="A3" t="s">
        <v>38</v>
      </c>
      <c r="B3">
        <v>25</v>
      </c>
    </row>
    <row r="4" spans="1:2" x14ac:dyDescent="0.25">
      <c r="A4" t="s">
        <v>39</v>
      </c>
      <c r="B4">
        <v>50</v>
      </c>
    </row>
    <row r="5" spans="1:2" x14ac:dyDescent="0.25">
      <c r="A5" t="s">
        <v>40</v>
      </c>
      <c r="B5">
        <v>0.4</v>
      </c>
    </row>
    <row r="6" spans="1:2" x14ac:dyDescent="0.25">
      <c r="A6" t="s">
        <v>41</v>
      </c>
      <c r="B6">
        <v>4</v>
      </c>
    </row>
    <row r="7" spans="1:2" x14ac:dyDescent="0.25">
      <c r="A7" t="s">
        <v>42</v>
      </c>
      <c r="B7">
        <v>1</v>
      </c>
    </row>
    <row r="8" spans="1:2" x14ac:dyDescent="0.25">
      <c r="A8" t="s">
        <v>43</v>
      </c>
      <c r="B8">
        <v>1</v>
      </c>
    </row>
  </sheetData>
  <pageMargins left="0.7" right="0.7" top="0.75" bottom="0.75" header="0.3" footer="0.3"/>
  <headerFooter>
    <oddFooter>&amp;L_x000D_&amp;1#&amp;"Aptos"&amp;10&amp;K000000 St. Jude - Confidential</oddFooter>
  </headerFooter>
</worksheet>
</file>

<file path=docMetadata/LabelInfo.xml><?xml version="1.0" encoding="utf-8"?>
<clbl:labelList xmlns:clbl="http://schemas.microsoft.com/office/2020/mipLabelMetadata">
  <clbl:label id="{65ce1208-e929-4ec4-be64-9138d78922c0}" enabled="1" method="Standard" siteId="{22340fa8-9226-4871-b677-d3b3e377af7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Patterns</vt:lpstr>
      <vt:lpstr>Layout</vt:lpstr>
      <vt:lpstr>Compounds</vt:lpstr>
      <vt:lpstr>Barcodes</vt:lpstr>
      <vt:lpstr>Assay</vt:lpstr>
      <vt:lpstr>Compounds!Extract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Dalecki, Alex</dc:creator>
  <cp:keywords/>
  <dc:description/>
  <cp:lastModifiedBy>Dalecki, Alex</cp:lastModifiedBy>
  <cp:revision/>
  <dcterms:created xsi:type="dcterms:W3CDTF">2024-07-08T17:39:07Z</dcterms:created>
  <dcterms:modified xsi:type="dcterms:W3CDTF">2026-08-27T15:58:33Z</dcterms:modified>
  <cp:category/>
  <cp:contentStatus/>
</cp:coreProperties>
</file>